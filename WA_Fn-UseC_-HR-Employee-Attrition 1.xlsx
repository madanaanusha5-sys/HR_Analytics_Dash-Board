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6B\EXCELCNV\17edf9a1-b612-4cee-a84e-0bf6e28f387e\"/>
    </mc:Choice>
  </mc:AlternateContent>
  <xr:revisionPtr revIDLastSave="0" documentId="8_{62B8EC02-3BC9-476A-868E-3DB33E675E2F}" xr6:coauthVersionLast="47" xr6:coauthVersionMax="47" xr10:uidLastSave="{00000000-0000-0000-0000-000000000000}"/>
  <bookViews>
    <workbookView xWindow="-60" yWindow="-60" windowWidth="15480" windowHeight="11640" firstSheet="2" activeTab="1" xr2:uid="{A7C082D7-CE20-4EF4-B4E7-D221FCC68E64}"/>
  </bookViews>
  <sheets>
    <sheet name="HR_Data" sheetId="1" r:id="rId1"/>
    <sheet name="HR_Analysis" sheetId="2" r:id="rId2"/>
    <sheet name="HR_DASHBOAR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H13" i="3"/>
  <c r="B13" i="3"/>
  <c r="B5" i="3"/>
  <c r="G28" i="2"/>
  <c r="G29" i="2"/>
  <c r="G27" i="2"/>
  <c r="F29" i="2"/>
  <c r="F28" i="2"/>
  <c r="F27" i="2"/>
  <c r="E29" i="2"/>
  <c r="E28" i="2"/>
  <c r="E27" i="2"/>
  <c r="H8" i="2"/>
  <c r="N15" i="2"/>
  <c r="N16" i="2"/>
  <c r="N17" i="2"/>
  <c r="N18" i="2"/>
  <c r="N19" i="2"/>
  <c r="N20" i="2"/>
  <c r="N21" i="2"/>
  <c r="N22" i="2"/>
  <c r="N23" i="2"/>
  <c r="N14" i="2"/>
  <c r="M23" i="2"/>
  <c r="M15" i="2"/>
  <c r="M16" i="2"/>
  <c r="M17" i="2"/>
  <c r="M18" i="2"/>
  <c r="M19" i="2"/>
  <c r="M20" i="2"/>
  <c r="M21" i="2"/>
  <c r="M22" i="2"/>
  <c r="M14" i="2"/>
  <c r="L23" i="2"/>
  <c r="L15" i="2"/>
  <c r="L16" i="2"/>
  <c r="L17" i="2"/>
  <c r="L18" i="2"/>
  <c r="L19" i="2"/>
  <c r="L20" i="2"/>
  <c r="L21" i="2"/>
  <c r="L22" i="2"/>
  <c r="L14" i="2"/>
  <c r="G19" i="2"/>
  <c r="G18" i="2"/>
  <c r="G17" i="2"/>
  <c r="G16" i="2"/>
  <c r="G15" i="2"/>
  <c r="G14" i="2"/>
  <c r="F19" i="2"/>
  <c r="E19" i="2"/>
  <c r="F18" i="2"/>
  <c r="E18" i="2"/>
  <c r="F17" i="2"/>
  <c r="E17" i="2"/>
  <c r="F16" i="2"/>
  <c r="E16" i="2"/>
  <c r="F15" i="2"/>
  <c r="E15" i="2"/>
  <c r="F14" i="2"/>
  <c r="E14" i="2"/>
  <c r="F8" i="2"/>
  <c r="G8" i="2"/>
  <c r="M8" i="2"/>
  <c r="M7" i="2"/>
  <c r="M6" i="2"/>
  <c r="L8" i="2"/>
  <c r="L7" i="2"/>
  <c r="L6" i="2"/>
  <c r="G6" i="2"/>
  <c r="G7" i="2"/>
  <c r="E7" i="2"/>
  <c r="E6" i="2"/>
  <c r="B15" i="2"/>
  <c r="B13" i="2"/>
  <c r="B7" i="2"/>
  <c r="B5" i="2"/>
  <c r="B11" i="2" s="1"/>
  <c r="H7" i="2" l="1"/>
  <c r="H6" i="2"/>
  <c r="N6" i="2"/>
  <c r="N7" i="2"/>
  <c r="N8" i="2"/>
  <c r="B9" i="2"/>
  <c r="F6" i="2"/>
  <c r="E8" i="2"/>
  <c r="F7" i="2" s="1"/>
</calcChain>
</file>

<file path=xl/sharedStrings.xml><?xml version="1.0" encoding="utf-8"?>
<sst xmlns="http://schemas.openxmlformats.org/spreadsheetml/2006/main" count="13329" uniqueCount="88">
  <si>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</si>
  <si>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</si>
  <si>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</si>
  <si>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</si>
  <si>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</si>
  <si>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</si>
  <si>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</si>
  <si>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</si>
  <si>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</si>
  <si>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</si>
  <si>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</si>
  <si>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</si>
  <si>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</si>
  <si>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</si>
  <si>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</si>
  <si>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</si>
  <si>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</si>
  <si>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</si>
  <si>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</si>
  <si>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</si>
  <si>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</si>
  <si>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</si>
  <si>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</si>
  <si>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</si>
  <si>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</si>
  <si>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</si>
  <si>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</si>
  <si>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</si>
  <si>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</si>
  <si>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</si>
  <si>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</si>
  <si>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</si>
  <si>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</si>
  <si>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</si>
  <si>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</si>
  <si>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</si>
  <si>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</si>
  <si>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</si>
  <si>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</si>
  <si>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</si>
  <si>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</si>
  <si>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</si>
  <si>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</si>
  <si>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</si>
  <si>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</si>
  <si>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</si>
  <si>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</si>
  <si>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</si>
  <si>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</si>
  <si>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</si>
  <si>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</si>
  <si>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</si>
  <si>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</si>
  <si>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</si>
  <si>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</si>
  <si>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</si>
  <si>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</si>
  <si>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</si>
  <si>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</si>
  <si>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</si>
  <si>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</si>
  <si>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</si>
  <si>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HR Analysis DashBoard</t>
  </si>
  <si>
    <t>Attrition Rat By Gender</t>
  </si>
  <si>
    <t>Attrition Rate By Department</t>
  </si>
  <si>
    <t>Total Employees</t>
  </si>
  <si>
    <t>Employee Count</t>
  </si>
  <si>
    <t>Percentage</t>
  </si>
  <si>
    <t>Employee Left</t>
  </si>
  <si>
    <t>Attrition Rate</t>
  </si>
  <si>
    <t>Total</t>
  </si>
  <si>
    <t>Active Employees</t>
  </si>
  <si>
    <t>Attrition By Age Group</t>
  </si>
  <si>
    <t>Attrition Rate By Job Role</t>
  </si>
  <si>
    <t>Avg Employee Age</t>
  </si>
  <si>
    <t>Age Group</t>
  </si>
  <si>
    <t>Job Role</t>
  </si>
  <si>
    <t>Under 25</t>
  </si>
  <si>
    <t>Average Monthly Income</t>
  </si>
  <si>
    <t>25-34</t>
  </si>
  <si>
    <t>35-44</t>
  </si>
  <si>
    <t>45-54</t>
  </si>
  <si>
    <t>55 and Above</t>
  </si>
  <si>
    <t>Attrition By OverTime</t>
  </si>
  <si>
    <t>Over Time</t>
  </si>
  <si>
    <t>HR ANALYTICS DASH BOARD</t>
  </si>
  <si>
    <t>EMPLOYEE ATTRITION AND WORKFORCE INSIGHTS</t>
  </si>
  <si>
    <t>Employees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</si>
</sst>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b/>
      <sz val="20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8"/>
      <color theme="7" tint="-0.499984740745262"/>
      <name val="Calibri"/>
      <family val="2"/>
      <scheme val="minor"/>
    </font>
    <font>
      <b/>
      <i/>
      <sz val="18"/>
      <color theme="9" tint="-0.499984740745262"/>
      <name val="Calibri"/>
      <family val="2"/>
      <scheme val="minor"/>
    </font>
    <font>
      <b/>
      <i/>
      <sz val="18"/>
      <color theme="5" tint="-0.499984740745262"/>
      <name val="Calibri"/>
      <family val="2"/>
      <scheme val="minor"/>
    </font>
    <font>
      <b/>
      <i/>
      <sz val="20"/>
      <color theme="4" tint="-0.249977111117893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9">
    <xf numFmtId="0" fontId="0" fillId="0" borderId="0" xfId="0"/>
    <xf numFmtId="0" fontId="0" fillId="0" borderId="10" xfId="0" applyBorder="1"/>
    <xf numFmtId="10" fontId="0" fillId="0" borderId="10" xfId="0" applyNumberFormat="1" applyBorder="1"/>
    <xf numFmtId="10" fontId="0" fillId="0" borderId="10" xfId="0" applyNumberFormat="1" applyBorder="1" applyAlignment="1">
      <alignment horizontal="center"/>
    </xf>
    <xf numFmtId="2" fontId="0" fillId="0" borderId="10" xfId="0" applyNumberFormat="1" applyBorder="1"/>
    <xf numFmtId="0" fontId="0" fillId="0" borderId="0" xfId="0" applyBorder="1"/>
    <xf numFmtId="0" fontId="0" fillId="0" borderId="11" xfId="0" applyBorder="1"/>
    <xf numFmtId="10" fontId="0" fillId="0" borderId="11" xfId="0" applyNumberFormat="1" applyBorder="1"/>
    <xf numFmtId="0" fontId="18" fillId="0" borderId="10" xfId="0" applyFont="1" applyBorder="1"/>
    <xf numFmtId="0" fontId="18" fillId="0" borderId="11" xfId="0" applyFont="1" applyBorder="1"/>
    <xf numFmtId="0" fontId="18" fillId="0" borderId="0" xfId="0" applyFont="1" applyBorder="1"/>
    <xf numFmtId="0" fontId="0" fillId="0" borderId="12" xfId="0" applyBorder="1"/>
    <xf numFmtId="0" fontId="18" fillId="0" borderId="0" xfId="0" applyFont="1" applyBorder="1" applyAlignment="1">
      <alignment horizontal="center"/>
    </xf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0" fontId="16" fillId="0" borderId="10" xfId="0" applyFont="1" applyBorder="1" applyAlignment="1">
      <alignment horizontal="center"/>
    </xf>
    <xf numFmtId="0" fontId="19" fillId="33" borderId="13" xfId="0" applyFont="1" applyFill="1" applyBorder="1" applyAlignment="1">
      <alignment horizontal="center"/>
    </xf>
    <xf numFmtId="0" fontId="19" fillId="33" borderId="0" xfId="0" applyFont="1" applyFill="1" applyBorder="1" applyAlignment="1">
      <alignment horizontal="center"/>
    </xf>
    <xf numFmtId="0" fontId="20" fillId="33" borderId="0" xfId="0" applyFont="1" applyFill="1" applyAlignment="1">
      <alignment horizontal="center"/>
    </xf>
    <xf numFmtId="0" fontId="21" fillId="0" borderId="0" xfId="0" applyFont="1"/>
    <xf numFmtId="0" fontId="22" fillId="35" borderId="14" xfId="0" applyFont="1" applyFill="1" applyBorder="1" applyAlignment="1">
      <alignment horizontal="center"/>
    </xf>
    <xf numFmtId="0" fontId="22" fillId="35" borderId="15" xfId="0" applyFont="1" applyFill="1" applyBorder="1" applyAlignment="1">
      <alignment horizontal="center"/>
    </xf>
    <xf numFmtId="0" fontId="22" fillId="35" borderId="16" xfId="0" applyFont="1" applyFill="1" applyBorder="1" applyAlignment="1">
      <alignment horizontal="center"/>
    </xf>
    <xf numFmtId="0" fontId="22" fillId="35" borderId="13" xfId="0" applyNumberFormat="1" applyFont="1" applyFill="1" applyBorder="1" applyAlignment="1">
      <alignment horizontal="center"/>
    </xf>
    <xf numFmtId="0" fontId="22" fillId="35" borderId="0" xfId="0" applyNumberFormat="1" applyFont="1" applyFill="1" applyBorder="1" applyAlignment="1">
      <alignment horizontal="center"/>
    </xf>
    <xf numFmtId="0" fontId="22" fillId="35" borderId="20" xfId="0" applyNumberFormat="1" applyFont="1" applyFill="1" applyBorder="1" applyAlignment="1">
      <alignment horizontal="center"/>
    </xf>
    <xf numFmtId="0" fontId="22" fillId="35" borderId="17" xfId="0" applyNumberFormat="1" applyFont="1" applyFill="1" applyBorder="1" applyAlignment="1">
      <alignment horizontal="center"/>
    </xf>
    <xf numFmtId="0" fontId="22" fillId="35" borderId="18" xfId="0" applyNumberFormat="1" applyFont="1" applyFill="1" applyBorder="1" applyAlignment="1">
      <alignment horizontal="center"/>
    </xf>
    <xf numFmtId="0" fontId="22" fillId="35" borderId="19" xfId="0" applyNumberFormat="1" applyFont="1" applyFill="1" applyBorder="1" applyAlignment="1">
      <alignment horizontal="center"/>
    </xf>
    <xf numFmtId="0" fontId="23" fillId="36" borderId="14" xfId="0" applyFont="1" applyFill="1" applyBorder="1" applyAlignment="1">
      <alignment horizontal="center"/>
    </xf>
    <xf numFmtId="0" fontId="23" fillId="36" borderId="15" xfId="0" applyFont="1" applyFill="1" applyBorder="1" applyAlignment="1">
      <alignment horizontal="center"/>
    </xf>
    <xf numFmtId="0" fontId="23" fillId="36" borderId="16" xfId="0" applyFont="1" applyFill="1" applyBorder="1" applyAlignment="1">
      <alignment horizontal="center"/>
    </xf>
    <xf numFmtId="0" fontId="23" fillId="36" borderId="13" xfId="0" applyFont="1" applyFill="1" applyBorder="1" applyAlignment="1">
      <alignment horizontal="center"/>
    </xf>
    <xf numFmtId="0" fontId="23" fillId="36" borderId="0" xfId="0" applyFont="1" applyFill="1" applyBorder="1" applyAlignment="1">
      <alignment horizontal="center"/>
    </xf>
    <xf numFmtId="0" fontId="23" fillId="36" borderId="20" xfId="0" applyFont="1" applyFill="1" applyBorder="1" applyAlignment="1">
      <alignment horizontal="center"/>
    </xf>
    <xf numFmtId="0" fontId="23" fillId="36" borderId="17" xfId="0" applyFont="1" applyFill="1" applyBorder="1" applyAlignment="1">
      <alignment horizontal="center"/>
    </xf>
    <xf numFmtId="0" fontId="23" fillId="36" borderId="18" xfId="0" applyFont="1" applyFill="1" applyBorder="1" applyAlignment="1">
      <alignment horizontal="center"/>
    </xf>
    <xf numFmtId="0" fontId="23" fillId="36" borderId="19" xfId="0" applyFont="1" applyFill="1" applyBorder="1" applyAlignment="1">
      <alignment horizontal="center"/>
    </xf>
    <xf numFmtId="0" fontId="24" fillId="37" borderId="14" xfId="0" applyFont="1" applyFill="1" applyBorder="1" applyAlignment="1">
      <alignment horizontal="center"/>
    </xf>
    <xf numFmtId="0" fontId="24" fillId="37" borderId="15" xfId="0" applyFont="1" applyFill="1" applyBorder="1" applyAlignment="1">
      <alignment horizontal="center"/>
    </xf>
    <xf numFmtId="0" fontId="24" fillId="37" borderId="16" xfId="0" applyFont="1" applyFill="1" applyBorder="1" applyAlignment="1">
      <alignment horizontal="center"/>
    </xf>
    <xf numFmtId="10" fontId="24" fillId="37" borderId="13" xfId="0" applyNumberFormat="1" applyFont="1" applyFill="1" applyBorder="1" applyAlignment="1">
      <alignment horizontal="center"/>
    </xf>
    <xf numFmtId="10" fontId="24" fillId="37" borderId="0" xfId="0" applyNumberFormat="1" applyFont="1" applyFill="1" applyBorder="1" applyAlignment="1">
      <alignment horizontal="center"/>
    </xf>
    <xf numFmtId="10" fontId="24" fillId="37" borderId="20" xfId="0" applyNumberFormat="1" applyFont="1" applyFill="1" applyBorder="1" applyAlignment="1">
      <alignment horizontal="center"/>
    </xf>
    <xf numFmtId="10" fontId="24" fillId="37" borderId="17" xfId="0" applyNumberFormat="1" applyFont="1" applyFill="1" applyBorder="1" applyAlignment="1">
      <alignment horizontal="center"/>
    </xf>
    <xf numFmtId="10" fontId="24" fillId="37" borderId="18" xfId="0" applyNumberFormat="1" applyFont="1" applyFill="1" applyBorder="1" applyAlignment="1">
      <alignment horizontal="center"/>
    </xf>
    <xf numFmtId="10" fontId="24" fillId="37" borderId="19" xfId="0" applyNumberFormat="1" applyFont="1" applyFill="1" applyBorder="1" applyAlignment="1">
      <alignment horizontal="center"/>
    </xf>
    <xf numFmtId="0" fontId="25" fillId="34" borderId="14" xfId="0" applyFont="1" applyFill="1" applyBorder="1" applyAlignment="1">
      <alignment horizontal="center"/>
    </xf>
    <xf numFmtId="0" fontId="25" fillId="34" borderId="15" xfId="0" applyFont="1" applyFill="1" applyBorder="1" applyAlignment="1">
      <alignment horizontal="center"/>
    </xf>
    <xf numFmtId="0" fontId="25" fillId="34" borderId="16" xfId="0" applyFont="1" applyFill="1" applyBorder="1" applyAlignment="1">
      <alignment horizontal="center"/>
    </xf>
    <xf numFmtId="0" fontId="25" fillId="34" borderId="13" xfId="0" applyFont="1" applyFill="1" applyBorder="1" applyAlignment="1">
      <alignment horizontal="center"/>
    </xf>
    <xf numFmtId="0" fontId="25" fillId="34" borderId="0" xfId="0" applyFont="1" applyFill="1" applyBorder="1" applyAlignment="1">
      <alignment horizontal="center"/>
    </xf>
    <xf numFmtId="0" fontId="25" fillId="34" borderId="20" xfId="0" applyFont="1" applyFill="1" applyBorder="1" applyAlignment="1">
      <alignment horizontal="center"/>
    </xf>
    <xf numFmtId="0" fontId="25" fillId="34" borderId="17" xfId="0" applyFont="1" applyFill="1" applyBorder="1" applyAlignment="1">
      <alignment horizontal="center"/>
    </xf>
    <xf numFmtId="0" fontId="25" fillId="34" borderId="18" xfId="0" applyFont="1" applyFill="1" applyBorder="1" applyAlignment="1">
      <alignment horizontal="center"/>
    </xf>
    <xf numFmtId="0" fontId="25" fillId="34" borderId="19" xfId="0" applyFont="1" applyFill="1" applyBorder="1" applyAlignment="1">
      <alignment horizontal="center"/>
    </xf>
    <xf numFmtId="0" fontId="22" fillId="38" borderId="0" xfId="0" applyFont="1" applyFill="1" applyBorder="1" applyAlignment="1">
      <alignment horizontal="center"/>
    </xf>
    <xf numFmtId="0" fontId="22" fillId="38" borderId="0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Left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HR_Analysis!$K$6</c:f>
              <c:strCache>
                <c:ptCount val="1"/>
                <c:pt idx="0">
                  <c:v>Human Resources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HR_Analysis!$L$5:$N$5</c:f>
              <c:strCache>
                <c:ptCount val="3"/>
                <c:pt idx="0">
                  <c:v>Employee Count</c:v>
                </c:pt>
                <c:pt idx="1">
                  <c:v>Employee Left</c:v>
                </c:pt>
                <c:pt idx="2">
                  <c:v>Attrition</c:v>
                </c:pt>
              </c:strCache>
            </c:strRef>
          </c:cat>
          <c:val>
            <c:numRef>
              <c:f>HR_Analysis!$L$6:$N$6</c:f>
              <c:numCache>
                <c:formatCode>General</c:formatCode>
                <c:ptCount val="3"/>
                <c:pt idx="0">
                  <c:v>63</c:v>
                </c:pt>
                <c:pt idx="1">
                  <c:v>12</c:v>
                </c:pt>
                <c:pt idx="2" formatCode="0.00%">
                  <c:v>0.19047619047619047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4-43F1-ACAE-158DCDEFEB3C}"/>
            </c:ext>
          </c:extLst>
        </c:ser>
        <c:ser>
          <c:idx val="1"/>
          <c:order val="1"/>
          <c:tx>
            <c:strRef>
              <c:f>HR_Analysis!$K$7</c:f>
              <c:strCache>
                <c:ptCount val="1"/>
                <c:pt idx="0">
                  <c:v>Research &amp; Development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HR_Analysis!$L$5:$N$5</c:f>
              <c:strCache>
                <c:ptCount val="3"/>
                <c:pt idx="0">
                  <c:v>Employee Count</c:v>
                </c:pt>
                <c:pt idx="1">
                  <c:v>Employee Left</c:v>
                </c:pt>
                <c:pt idx="2">
                  <c:v>Attrition</c:v>
                </c:pt>
              </c:strCache>
            </c:strRef>
          </c:cat>
          <c:val>
            <c:numRef>
              <c:f>HR_Analysis!$L$7:$N$7</c:f>
              <c:numCache>
                <c:formatCode>General</c:formatCode>
                <c:ptCount val="3"/>
                <c:pt idx="0">
                  <c:v>961</c:v>
                </c:pt>
                <c:pt idx="1">
                  <c:v>133</c:v>
                </c:pt>
                <c:pt idx="2" formatCode="0.00%">
                  <c:v>0.13839750260145681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A4-43F1-ACAE-158DCDEFEB3C}"/>
            </c:ext>
          </c:extLst>
        </c:ser>
        <c:ser>
          <c:idx val="2"/>
          <c:order val="2"/>
          <c:tx>
            <c:strRef>
              <c:f>HR_Analysis!$K$8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HR_Analysis!$L$5:$N$5</c:f>
              <c:strCache>
                <c:ptCount val="3"/>
                <c:pt idx="0">
                  <c:v>Employee Count</c:v>
                </c:pt>
                <c:pt idx="1">
                  <c:v>Employee Left</c:v>
                </c:pt>
                <c:pt idx="2">
                  <c:v>Attrition</c:v>
                </c:pt>
              </c:strCache>
            </c:strRef>
          </c:cat>
          <c:val>
            <c:numRef>
              <c:f>HR_Analysis!$L$8:$N$8</c:f>
              <c:numCache>
                <c:formatCode>General</c:formatCode>
                <c:ptCount val="3"/>
                <c:pt idx="0">
                  <c:v>446</c:v>
                </c:pt>
                <c:pt idx="1">
                  <c:v>92</c:v>
                </c:pt>
                <c:pt idx="2" formatCode="0.00%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A4-43F1-ACAE-158DCDEFE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4035336"/>
        <c:axId val="864037384"/>
      </c:barChart>
      <c:catAx>
        <c:axId val="864035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037384"/>
        <c:crosses val="autoZero"/>
        <c:auto val="1"/>
        <c:lblAlgn val="ctr"/>
        <c:lblOffset val="100"/>
        <c:noMultiLvlLbl val="0"/>
      </c:catAx>
      <c:valAx>
        <c:axId val="864037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035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HR_Analysis!$E$13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HR_Analysis!$D$14:$D$19</c:f>
              <c:strCache>
                <c:ptCount val="6"/>
                <c:pt idx="0">
                  <c:v>Under 25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 and Above</c:v>
                </c:pt>
                <c:pt idx="5">
                  <c:v>Total</c:v>
                </c:pt>
              </c:strCache>
            </c:strRef>
          </c:cat>
          <c:val>
            <c:numRef>
              <c:f>HR_Analysis!$E$14:$E$19</c:f>
              <c:numCache>
                <c:formatCode>General</c:formatCode>
                <c:ptCount val="6"/>
                <c:pt idx="0">
                  <c:v>97</c:v>
                </c:pt>
                <c:pt idx="1">
                  <c:v>554</c:v>
                </c:pt>
                <c:pt idx="2">
                  <c:v>505</c:v>
                </c:pt>
                <c:pt idx="3">
                  <c:v>245</c:v>
                </c:pt>
                <c:pt idx="4">
                  <c:v>69</c:v>
                </c:pt>
                <c:pt idx="5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4-4EA4-A413-BCC26ECD62EB}"/>
            </c:ext>
          </c:extLst>
        </c:ser>
        <c:ser>
          <c:idx val="1"/>
          <c:order val="1"/>
          <c:tx>
            <c:strRef>
              <c:f>HR_Analysis!$F$13</c:f>
              <c:strCache>
                <c:ptCount val="1"/>
                <c:pt idx="0">
                  <c:v>Employee Left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HR_Analysis!$D$14:$D$19</c:f>
              <c:strCache>
                <c:ptCount val="6"/>
                <c:pt idx="0">
                  <c:v>Under 25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 and Above</c:v>
                </c:pt>
                <c:pt idx="5">
                  <c:v>Total</c:v>
                </c:pt>
              </c:strCache>
            </c:strRef>
          </c:cat>
          <c:val>
            <c:numRef>
              <c:f>HR_Analysis!$F$14:$F$19</c:f>
              <c:numCache>
                <c:formatCode>General</c:formatCode>
                <c:ptCount val="6"/>
                <c:pt idx="0">
                  <c:v>38</c:v>
                </c:pt>
                <c:pt idx="1">
                  <c:v>112</c:v>
                </c:pt>
                <c:pt idx="2">
                  <c:v>51</c:v>
                </c:pt>
                <c:pt idx="3">
                  <c:v>25</c:v>
                </c:pt>
                <c:pt idx="4">
                  <c:v>11</c:v>
                </c:pt>
                <c:pt idx="5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F4-4EA4-A413-BCC26ECD62EB}"/>
            </c:ext>
          </c:extLst>
        </c:ser>
        <c:ser>
          <c:idx val="2"/>
          <c:order val="2"/>
          <c:tx>
            <c:strRef>
              <c:f>HR_Analysis!$G$13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HR_Analysis!$D$14:$D$19</c:f>
              <c:strCache>
                <c:ptCount val="6"/>
                <c:pt idx="0">
                  <c:v>Under 25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 and Above</c:v>
                </c:pt>
                <c:pt idx="5">
                  <c:v>Total</c:v>
                </c:pt>
              </c:strCache>
            </c:strRef>
          </c:cat>
          <c:val>
            <c:numRef>
              <c:f>HR_Analysis!$G$14:$G$19</c:f>
              <c:numCache>
                <c:formatCode>0.00%</c:formatCode>
                <c:ptCount val="6"/>
                <c:pt idx="0">
                  <c:v>0.39175257731958762</c:v>
                </c:pt>
                <c:pt idx="1">
                  <c:v>0.20216606498194944</c:v>
                </c:pt>
                <c:pt idx="2">
                  <c:v>0.100990099009901</c:v>
                </c:pt>
                <c:pt idx="3">
                  <c:v>0.10204081632653061</c:v>
                </c:pt>
                <c:pt idx="4">
                  <c:v>0.15942028985507245</c:v>
                </c:pt>
                <c:pt idx="5">
                  <c:v>0.16122448979591836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F4-4EA4-A413-BCC26ECD6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9819016"/>
        <c:axId val="899821064"/>
      </c:barChart>
      <c:catAx>
        <c:axId val="899819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821064"/>
        <c:crosses val="autoZero"/>
        <c:auto val="1"/>
        <c:lblAlgn val="ctr"/>
        <c:lblOffset val="100"/>
        <c:noMultiLvlLbl val="0"/>
      </c:catAx>
      <c:valAx>
        <c:axId val="899821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819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HR_Analysis!$L$13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HR_Analysis!$K$14:$K$23</c:f>
              <c:strCache>
                <c:ptCount val="10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  <c:pt idx="9">
                  <c:v>Total</c:v>
                </c:pt>
              </c:strCache>
            </c:strRef>
          </c:cat>
          <c:val>
            <c:numRef>
              <c:f>HR_Analysis!$L$14:$L$23</c:f>
              <c:numCache>
                <c:formatCode>General</c:formatCode>
                <c:ptCount val="10"/>
                <c:pt idx="0">
                  <c:v>131</c:v>
                </c:pt>
                <c:pt idx="1">
                  <c:v>52</c:v>
                </c:pt>
                <c:pt idx="2">
                  <c:v>259</c:v>
                </c:pt>
                <c:pt idx="3">
                  <c:v>102</c:v>
                </c:pt>
                <c:pt idx="4">
                  <c:v>145</c:v>
                </c:pt>
                <c:pt idx="5">
                  <c:v>80</c:v>
                </c:pt>
                <c:pt idx="6">
                  <c:v>292</c:v>
                </c:pt>
                <c:pt idx="7">
                  <c:v>326</c:v>
                </c:pt>
                <c:pt idx="8">
                  <c:v>83</c:v>
                </c:pt>
                <c:pt idx="9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9-4E76-9D1B-8C6D94691049}"/>
            </c:ext>
          </c:extLst>
        </c:ser>
        <c:ser>
          <c:idx val="1"/>
          <c:order val="1"/>
          <c:tx>
            <c:strRef>
              <c:f>HR_Analysis!$M$13</c:f>
              <c:strCache>
                <c:ptCount val="1"/>
                <c:pt idx="0">
                  <c:v>Employee Left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HR_Analysis!$K$14:$K$23</c:f>
              <c:strCache>
                <c:ptCount val="10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  <c:pt idx="9">
                  <c:v>Total</c:v>
                </c:pt>
              </c:strCache>
            </c:strRef>
          </c:cat>
          <c:val>
            <c:numRef>
              <c:f>HR_Analysis!$M$14:$M$23</c:f>
              <c:numCache>
                <c:formatCode>General</c:formatCode>
                <c:ptCount val="10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  <c:pt idx="9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39-4E76-9D1B-8C6D94691049}"/>
            </c:ext>
          </c:extLst>
        </c:ser>
        <c:ser>
          <c:idx val="2"/>
          <c:order val="2"/>
          <c:tx>
            <c:strRef>
              <c:f>HR_Analysis!$N$13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HR_Analysis!$K$14:$K$23</c:f>
              <c:strCache>
                <c:ptCount val="10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  <c:pt idx="9">
                  <c:v>Total</c:v>
                </c:pt>
              </c:strCache>
            </c:strRef>
          </c:cat>
          <c:val>
            <c:numRef>
              <c:f>HR_Analysis!$N$14:$N$23</c:f>
              <c:numCache>
                <c:formatCode>0.00%</c:formatCode>
                <c:ptCount val="10"/>
                <c:pt idx="0">
                  <c:v>6.8702290076335881E-2</c:v>
                </c:pt>
                <c:pt idx="1">
                  <c:v>0.23076923076923078</c:v>
                </c:pt>
                <c:pt idx="2">
                  <c:v>0.23938223938223938</c:v>
                </c:pt>
                <c:pt idx="3">
                  <c:v>4.9019607843137254E-2</c:v>
                </c:pt>
                <c:pt idx="4">
                  <c:v>6.8965517241379309E-2</c:v>
                </c:pt>
                <c:pt idx="5">
                  <c:v>2.5000000000000001E-2</c:v>
                </c:pt>
                <c:pt idx="6">
                  <c:v>0.16095890410958905</c:v>
                </c:pt>
                <c:pt idx="7">
                  <c:v>0.17484662576687116</c:v>
                </c:pt>
                <c:pt idx="8">
                  <c:v>0.39759036144578314</c:v>
                </c:pt>
                <c:pt idx="9">
                  <c:v>0.16122448979591836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39-4E76-9D1B-8C6D94691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7097224"/>
        <c:axId val="994501128"/>
      </c:barChart>
      <c:catAx>
        <c:axId val="897097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501128"/>
        <c:crosses val="autoZero"/>
        <c:auto val="1"/>
        <c:lblAlgn val="ctr"/>
        <c:lblOffset val="100"/>
        <c:noMultiLvlLbl val="0"/>
      </c:catAx>
      <c:valAx>
        <c:axId val="994501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097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Rate: Overtime vs No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HR_Analysis!$D$27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HR_Analysis!$E$26:$G$26</c:f>
              <c:strCache>
                <c:ptCount val="3"/>
                <c:pt idx="0">
                  <c:v>Employee Count</c:v>
                </c:pt>
                <c:pt idx="1">
                  <c:v>Employee Left</c:v>
                </c:pt>
                <c:pt idx="2">
                  <c:v>Attrition Rate</c:v>
                </c:pt>
              </c:strCache>
            </c:strRef>
          </c:cat>
          <c:val>
            <c:numRef>
              <c:f>HR_Analysis!$E$27:$G$27</c:f>
              <c:numCache>
                <c:formatCode>General</c:formatCode>
                <c:ptCount val="3"/>
                <c:pt idx="0">
                  <c:v>416</c:v>
                </c:pt>
                <c:pt idx="1">
                  <c:v>127</c:v>
                </c:pt>
                <c:pt idx="2" formatCode="0.00%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27-42F3-A834-95E2EFEC2CAF}"/>
            </c:ext>
          </c:extLst>
        </c:ser>
        <c:ser>
          <c:idx val="1"/>
          <c:order val="1"/>
          <c:tx>
            <c:strRef>
              <c:f>HR_Analysis!$D$28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HR_Analysis!$E$26:$G$26</c:f>
              <c:strCache>
                <c:ptCount val="3"/>
                <c:pt idx="0">
                  <c:v>Employee Count</c:v>
                </c:pt>
                <c:pt idx="1">
                  <c:v>Employee Left</c:v>
                </c:pt>
                <c:pt idx="2">
                  <c:v>Attrition Rate</c:v>
                </c:pt>
              </c:strCache>
            </c:strRef>
          </c:cat>
          <c:val>
            <c:numRef>
              <c:f>HR_Analysis!$E$28:$G$28</c:f>
              <c:numCache>
                <c:formatCode>General</c:formatCode>
                <c:ptCount val="3"/>
                <c:pt idx="0">
                  <c:v>1054</c:v>
                </c:pt>
                <c:pt idx="1">
                  <c:v>110</c:v>
                </c:pt>
                <c:pt idx="2" formatCode="0.00%">
                  <c:v>0.10436432637571158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27-42F3-A834-95E2EFEC2CAF}"/>
            </c:ext>
          </c:extLst>
        </c:ser>
        <c:ser>
          <c:idx val="2"/>
          <c:order val="2"/>
          <c:tx>
            <c:strRef>
              <c:f>HR_Analysis!$D$29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HR_Analysis!$E$26:$G$26</c:f>
              <c:strCache>
                <c:ptCount val="3"/>
                <c:pt idx="0">
                  <c:v>Employee Count</c:v>
                </c:pt>
                <c:pt idx="1">
                  <c:v>Employee Left</c:v>
                </c:pt>
                <c:pt idx="2">
                  <c:v>Attrition Rate</c:v>
                </c:pt>
              </c:strCache>
            </c:strRef>
          </c:cat>
          <c:val>
            <c:numRef>
              <c:f>HR_Analysis!$E$29:$G$29</c:f>
              <c:numCache>
                <c:formatCode>General</c:formatCode>
                <c:ptCount val="3"/>
                <c:pt idx="0">
                  <c:v>1470</c:v>
                </c:pt>
                <c:pt idx="1">
                  <c:v>237</c:v>
                </c:pt>
                <c:pt idx="2" formatCode="0.00%">
                  <c:v>0.16122448979591836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27-42F3-A834-95E2EFEC2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671560"/>
        <c:axId val="691673608"/>
      </c:barChart>
      <c:catAx>
        <c:axId val="691671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673608"/>
        <c:crosses val="autoZero"/>
        <c:auto val="1"/>
        <c:lblAlgn val="ctr"/>
        <c:lblOffset val="100"/>
        <c:noMultiLvlLbl val="0"/>
      </c:catAx>
      <c:valAx>
        <c:axId val="691673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671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15</xdr:row>
      <xdr:rowOff>171450</xdr:rowOff>
    </xdr:from>
    <xdr:to>
      <xdr:col>7</xdr:col>
      <xdr:colOff>428625</xdr:colOff>
      <xdr:row>31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23D728-8DE5-417E-8DA3-C65B5055C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9525</xdr:colOff>
      <xdr:row>3</xdr:row>
      <xdr:rowOff>9525</xdr:rowOff>
    </xdr:from>
    <xdr:to>
      <xdr:col>23</xdr:col>
      <xdr:colOff>0</xdr:colOff>
      <xdr:row>14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39C2E3-6950-4A51-BE3A-2B6B32ACCD0A}"/>
            </a:ext>
            <a:ext uri="{147F2762-F138-4A5C-976F-8EAC2B608ADB}">
              <a16:predDERef xmlns:a16="http://schemas.microsoft.com/office/drawing/2014/main" pred="{B423D728-8DE5-417E-8DA3-C65B5055C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</xdr:colOff>
      <xdr:row>16</xdr:row>
      <xdr:rowOff>9525</xdr:rowOff>
    </xdr:from>
    <xdr:to>
      <xdr:col>14</xdr:col>
      <xdr:colOff>495300</xdr:colOff>
      <xdr:row>32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073429-34E6-4550-9C07-B649C037BBCC}"/>
            </a:ext>
            <a:ext uri="{147F2762-F138-4A5C-976F-8EAC2B608ADB}">
              <a16:predDERef xmlns:a16="http://schemas.microsoft.com/office/drawing/2014/main" pred="{7139C2E3-6950-4A51-BE3A-2B6B32ACC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285750</xdr:colOff>
      <xdr:row>15</xdr:row>
      <xdr:rowOff>180975</xdr:rowOff>
    </xdr:from>
    <xdr:to>
      <xdr:col>22</xdr:col>
      <xdr:colOff>590550</xdr:colOff>
      <xdr:row>31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CEAFB6-86C2-43C9-8EA5-823276AA7BAE}"/>
            </a:ext>
            <a:ext uri="{147F2762-F138-4A5C-976F-8EAC2B608ADB}">
              <a16:predDERef xmlns:a16="http://schemas.microsoft.com/office/drawing/2014/main" pred="{D4073429-34E6-4550-9C07-B649C037B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32635F-F9F0-4950-956F-A732BE0078AC}" name="HR_Data" displayName="HR_Data" ref="A1:AI1471" totalsRowShown="0">
  <autoFilter ref="A1:AI1471" xr:uid="{EC32635F-F9F0-4950-956F-A732BE0078AC}"/>
  <tableColumns count="35">
    <tableColumn id="1" xr3:uid="{E2615F04-ED53-469A-A249-40FDD3405FB5}" name="Age"/>
    <tableColumn id="2" xr3:uid="{A1FEA8AF-AAA1-413E-837A-9A020806DF73}" name="Attrition"/>
    <tableColumn id="3" xr3:uid="{E4B02F05-27E2-4471-A4D6-F0648B70108B}" name="BusinessTravel"/>
    <tableColumn id="4" xr3:uid="{0333122C-7EBD-46AE-970C-F8AB56FF37C8}" name="DailyRate"/>
    <tableColumn id="5" xr3:uid="{A4620714-C19C-4E2C-83D3-CD6CB3614442}" name="Department"/>
    <tableColumn id="6" xr3:uid="{305CA65D-2C2B-4D26-8349-F1248C54DB45}" name="DistanceFromHome"/>
    <tableColumn id="7" xr3:uid="{E10887AE-3337-490E-9B0B-CE0082BBF173}" name="Education"/>
    <tableColumn id="8" xr3:uid="{97C29849-CD60-4F46-97A2-25AE3D9A0763}" name="EducationField"/>
    <tableColumn id="9" xr3:uid="{F861D54F-B42F-47C2-956B-75A5FF510DA7}" name="EmployeeCount"/>
    <tableColumn id="10" xr3:uid="{31C86D05-3437-4F22-AB25-79E3B1EBF6E6}" name="EmployeeNumber"/>
    <tableColumn id="11" xr3:uid="{724144CC-F77E-4677-B55F-0F324B37D00F}" name="EnvironmentSatisfaction"/>
    <tableColumn id="12" xr3:uid="{68010393-AF0A-4200-AB99-F0B536C5B606}" name="Gender"/>
    <tableColumn id="13" xr3:uid="{7A9FB0D5-FB67-47F7-A959-D48DF21CD6F0}" name="HourlyRate"/>
    <tableColumn id="14" xr3:uid="{44CCB7F4-6756-4A16-9C7E-9E8B53F1857F}" name="JobInvolvement"/>
    <tableColumn id="15" xr3:uid="{FB958D63-7E76-4050-9C52-36A9AC78AB8F}" name="JobLevel"/>
    <tableColumn id="16" xr3:uid="{49C6C61C-A08C-4B61-B5DA-AD607480FD9A}" name="JobRole"/>
    <tableColumn id="17" xr3:uid="{9A9B4494-A39F-44EF-9BB7-2AE799ADC1D8}" name="JobSatisfaction"/>
    <tableColumn id="18" xr3:uid="{1C2AD9BE-4C65-41C9-83D8-E2C131BA3744}" name="MaritalStatus"/>
    <tableColumn id="19" xr3:uid="{32C261DD-4267-418B-B053-6A0A3648B538}" name="MonthlyIncome"/>
    <tableColumn id="20" xr3:uid="{7A9BDB31-2346-4450-91B8-2175357D4DC5}" name="MonthlyRate"/>
    <tableColumn id="21" xr3:uid="{80EBD8E0-336F-4CCF-AC0D-69323A7AC704}" name="NumCompaniesWorked"/>
    <tableColumn id="22" xr3:uid="{7CD027B6-3EFE-4380-A4BD-5E1EF7EFA1DD}" name="Over18"/>
    <tableColumn id="23" xr3:uid="{0CFC3A6B-60D4-4620-B4CB-4385F6AC9B97}" name="OverTime"/>
    <tableColumn id="24" xr3:uid="{08588E1E-27DE-4470-AB62-6376421088D8}" name="PercentSalaryHike"/>
    <tableColumn id="25" xr3:uid="{24A5871F-2D6D-4F2A-AE2A-CA4350C1E76E}" name="PerformanceRating"/>
    <tableColumn id="26" xr3:uid="{CD9FAAD8-B0CC-466E-8D57-18AD75029D54}" name="RelationshipSatisfaction"/>
    <tableColumn id="27" xr3:uid="{2C275D83-EB3E-45B4-99B6-63521B6C849F}" name="StandardHours"/>
    <tableColumn id="28" xr3:uid="{3D8A9900-7193-476A-9DAB-107CEF663BA0}" name="StockOptionLevel"/>
    <tableColumn id="29" xr3:uid="{386B09BB-5AAD-4CEC-889B-8488BD433A01}" name="TotalWorkingYears"/>
    <tableColumn id="30" xr3:uid="{5D861D74-2E9C-439E-B9F4-ACF2D3B687DA}" name="TrainingTimesLastYear"/>
    <tableColumn id="31" xr3:uid="{1E2470DB-4ACA-433B-A313-8429DDBB203D}" name="WorkLifeBalance"/>
    <tableColumn id="32" xr3:uid="{B24DC59F-55B4-4016-A1A8-1ADAC44460AB}" name="YearsAtCompany"/>
    <tableColumn id="33" xr3:uid="{F68A4A19-AC02-4725-834D-967FD7CE2F3B}" name="YearsInCurrentRole"/>
    <tableColumn id="34" xr3:uid="{1D8264B1-E92B-4117-9B72-67870093B3BE}" name="YearsSinceLastPromotion"/>
    <tableColumn id="35" xr3:uid="{EDC5DB27-4253-4E74-8EF4-1A93EA05EE79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C022-649E-42AB-9EBD-5B61208FB3D5}">
  <dimension ref="A1:AI1471"/>
  <sheetViews>
    <sheetView topLeftCell="C1" workbookViewId="0">
      <selection activeCell="P1" sqref="P1:P1048576"/>
    </sheetView>
  </sheetViews>
  <sheetFormatPr defaultRowHeight="15"/>
  <cols>
    <col min="2" max="2" width="11.140625" bestFit="1" customWidth="1"/>
    <col min="3" max="3" width="17.5703125" bestFit="1" customWidth="1"/>
    <col min="4" max="4" width="12" bestFit="1" customWidth="1"/>
    <col min="5" max="5" width="24" bestFit="1" customWidth="1"/>
    <col min="6" max="6" width="21.28515625" bestFit="1" customWidth="1"/>
    <col min="7" max="7" width="12.28515625" bestFit="1" customWidth="1"/>
    <col min="8" max="8" width="17" bestFit="1" customWidth="1"/>
    <col min="9" max="9" width="17.7109375" bestFit="1" customWidth="1"/>
    <col min="10" max="10" width="19.85546875" bestFit="1" customWidth="1"/>
    <col min="11" max="11" width="25.7109375" bestFit="1" customWidth="1"/>
    <col min="12" max="12" width="10" bestFit="1" customWidth="1"/>
    <col min="13" max="13" width="13.42578125" bestFit="1" customWidth="1"/>
    <col min="14" max="14" width="17.85546875" bestFit="1" customWidth="1"/>
    <col min="15" max="15" width="11" bestFit="1" customWidth="1"/>
    <col min="16" max="16" width="25.140625" bestFit="1" customWidth="1"/>
    <col min="17" max="17" width="17" bestFit="1" customWidth="1"/>
    <col min="18" max="18" width="15.7109375" bestFit="1" customWidth="1"/>
    <col min="19" max="19" width="17.7109375" bestFit="1" customWidth="1"/>
    <col min="20" max="20" width="15.140625" bestFit="1" customWidth="1"/>
    <col min="21" max="21" width="25.140625" bestFit="1" customWidth="1"/>
    <col min="22" max="22" width="9.85546875" bestFit="1" customWidth="1"/>
    <col min="23" max="23" width="12.140625" bestFit="1" customWidth="1"/>
    <col min="24" max="24" width="20" bestFit="1" customWidth="1"/>
    <col min="25" max="25" width="20.85546875" bestFit="1" customWidth="1"/>
    <col min="26" max="26" width="25.42578125" bestFit="1" customWidth="1"/>
    <col min="27" max="27" width="16.85546875" bestFit="1" customWidth="1"/>
    <col min="28" max="28" width="19.140625" bestFit="1" customWidth="1"/>
    <col min="29" max="29" width="20.7109375" bestFit="1" customWidth="1"/>
    <col min="30" max="30" width="24" bestFit="1" customWidth="1"/>
    <col min="31" max="31" width="18.5703125" bestFit="1" customWidth="1"/>
    <col min="32" max="32" width="18.85546875" bestFit="1" customWidth="1"/>
    <col min="33" max="33" width="21" bestFit="1" customWidth="1"/>
    <col min="34" max="34" width="26.42578125" bestFit="1" customWidth="1"/>
    <col min="35" max="35" width="24.855468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150A2-B10B-46D8-80A4-B7D78FFA4990}">
  <dimension ref="A1:N31"/>
  <sheetViews>
    <sheetView tabSelected="1" workbookViewId="0">
      <selection activeCell="D5" sqref="D5:H8"/>
    </sheetView>
  </sheetViews>
  <sheetFormatPr defaultRowHeight="15"/>
  <cols>
    <col min="1" max="1" width="23.42578125" customWidth="1"/>
    <col min="2" max="2" width="9.7109375" bestFit="1" customWidth="1"/>
    <col min="4" max="4" width="12.7109375" customWidth="1"/>
    <col min="5" max="5" width="15.140625" customWidth="1"/>
    <col min="6" max="6" width="13.7109375" customWidth="1"/>
    <col min="7" max="7" width="12.7109375" customWidth="1"/>
    <col min="8" max="8" width="13.28515625" customWidth="1"/>
    <col min="11" max="11" width="23.85546875" customWidth="1"/>
    <col min="12" max="12" width="15.5703125" customWidth="1"/>
    <col min="13" max="13" width="13.85546875" customWidth="1"/>
    <col min="14" max="14" width="12.5703125" customWidth="1"/>
  </cols>
  <sheetData>
    <row r="1" spans="1:14">
      <c r="A1" s="12" t="s">
        <v>62</v>
      </c>
      <c r="B1" s="5"/>
    </row>
    <row r="2" spans="1:14">
      <c r="A2" s="5"/>
      <c r="B2" s="5"/>
    </row>
    <row r="3" spans="1:14">
      <c r="A3" s="5"/>
      <c r="B3" s="5"/>
      <c r="D3" s="16" t="s">
        <v>63</v>
      </c>
      <c r="E3" s="16"/>
      <c r="F3" s="16"/>
      <c r="G3" s="16"/>
      <c r="H3" s="16"/>
      <c r="K3" s="16" t="s">
        <v>64</v>
      </c>
      <c r="L3" s="16"/>
      <c r="M3" s="16"/>
      <c r="N3" s="16"/>
    </row>
    <row r="4" spans="1:14">
      <c r="A4" s="5"/>
      <c r="B4" s="5"/>
    </row>
    <row r="5" spans="1:14">
      <c r="A5" s="13" t="s">
        <v>65</v>
      </c>
      <c r="B5" s="1">
        <f>COUNTA(HR_Data[EmployeeNumber])</f>
        <v>1470</v>
      </c>
      <c r="D5" s="13" t="s">
        <v>11</v>
      </c>
      <c r="E5" s="13" t="s">
        <v>66</v>
      </c>
      <c r="F5" s="13" t="s">
        <v>67</v>
      </c>
      <c r="G5" s="14" t="s">
        <v>68</v>
      </c>
      <c r="H5" s="13" t="s">
        <v>69</v>
      </c>
      <c r="K5" s="8" t="s">
        <v>4</v>
      </c>
      <c r="L5" s="8" t="s">
        <v>66</v>
      </c>
      <c r="M5" s="9" t="s">
        <v>68</v>
      </c>
      <c r="N5" s="8" t="s">
        <v>1</v>
      </c>
    </row>
    <row r="6" spans="1:14">
      <c r="A6" s="15"/>
      <c r="B6" s="11"/>
      <c r="D6" s="13" t="s">
        <v>46</v>
      </c>
      <c r="E6" s="1">
        <f>COUNTIF(HR_Data[Gender],"Male")</f>
        <v>882</v>
      </c>
      <c r="F6" s="2">
        <f>E6/B5</f>
        <v>0.6</v>
      </c>
      <c r="G6" s="6">
        <f>COUNTIFS(HR_Data[Gender],"Male",HR_Data[Attrition],"yes")</f>
        <v>150</v>
      </c>
      <c r="H6" s="2">
        <f>G6/E6</f>
        <v>0.17006802721088435</v>
      </c>
      <c r="K6" s="13" t="s">
        <v>61</v>
      </c>
      <c r="L6" s="1">
        <f>COUNTIF(HR_Data[Department],K6)</f>
        <v>63</v>
      </c>
      <c r="M6" s="6">
        <f>COUNTIFS(HR_Data[Department],K6,HR_Data[Attrition],"yes")</f>
        <v>12</v>
      </c>
      <c r="N6" s="2">
        <f>M6/L6</f>
        <v>0.19047619047619047</v>
      </c>
    </row>
    <row r="7" spans="1:14">
      <c r="A7" s="13" t="s">
        <v>68</v>
      </c>
      <c r="B7" s="1">
        <f>COUNTIF(HR_Data[Attrition],"yes")</f>
        <v>237</v>
      </c>
      <c r="D7" s="13" t="s">
        <v>39</v>
      </c>
      <c r="E7" s="1">
        <f>COUNTIF(HR_Data[Gender],"Female")</f>
        <v>588</v>
      </c>
      <c r="F7" s="2">
        <f>E7/E8</f>
        <v>0.4</v>
      </c>
      <c r="G7" s="6">
        <f>COUNTIFS(HR_Data[Gender],"Female",HR_Data[Attrition],"yes")</f>
        <v>87</v>
      </c>
      <c r="H7" s="2">
        <f>G7/E7</f>
        <v>0.14795918367346939</v>
      </c>
      <c r="K7" s="13" t="s">
        <v>45</v>
      </c>
      <c r="L7" s="1">
        <f>COUNTIF(HR_Data[Department],K7)</f>
        <v>961</v>
      </c>
      <c r="M7" s="6">
        <f>COUNTIFS(HR_Data[Department],K7,HR_Data[Attrition],"yes")</f>
        <v>133</v>
      </c>
      <c r="N7" s="2">
        <f>M7/L7</f>
        <v>0.13839750260145681</v>
      </c>
    </row>
    <row r="8" spans="1:14">
      <c r="A8" s="13"/>
      <c r="B8" s="1"/>
      <c r="D8" s="13" t="s">
        <v>70</v>
      </c>
      <c r="E8" s="1">
        <f>SUM(E7+E6)</f>
        <v>1470</v>
      </c>
      <c r="F8" s="2">
        <f t="shared" ref="F8:I8" si="0">SUM(F7+F6)</f>
        <v>1</v>
      </c>
      <c r="G8" s="1">
        <f t="shared" si="0"/>
        <v>237</v>
      </c>
      <c r="H8" s="7">
        <f>G8/E8</f>
        <v>0.16122448979591836</v>
      </c>
      <c r="I8" s="5"/>
      <c r="K8" s="13" t="s">
        <v>37</v>
      </c>
      <c r="L8" s="1">
        <f>COUNTIF(HR_Data[Department],K8)</f>
        <v>446</v>
      </c>
      <c r="M8" s="6">
        <f>COUNTIFS(HR_Data[Department],K8,HR_Data[Attrition],"yes")</f>
        <v>92</v>
      </c>
      <c r="N8" s="2">
        <f>M8/L8</f>
        <v>0.20627802690582961</v>
      </c>
    </row>
    <row r="9" spans="1:14">
      <c r="A9" s="13" t="s">
        <v>69</v>
      </c>
      <c r="B9" s="3">
        <f>B7/B5</f>
        <v>0.16122448979591836</v>
      </c>
    </row>
    <row r="10" spans="1:14">
      <c r="A10" s="13"/>
      <c r="B10" s="1"/>
    </row>
    <row r="11" spans="1:14">
      <c r="A11" s="13" t="s">
        <v>71</v>
      </c>
      <c r="B11" s="1">
        <f>B5-B7</f>
        <v>1233</v>
      </c>
      <c r="D11" s="16" t="s">
        <v>72</v>
      </c>
      <c r="E11" s="16"/>
      <c r="F11" s="16"/>
      <c r="G11" s="16"/>
      <c r="H11" s="16"/>
      <c r="K11" s="16" t="s">
        <v>73</v>
      </c>
      <c r="L11" s="16"/>
      <c r="M11" s="16"/>
      <c r="N11" s="16"/>
    </row>
    <row r="12" spans="1:14">
      <c r="A12" s="13"/>
      <c r="B12" s="1"/>
      <c r="K12" s="10"/>
      <c r="L12" s="10"/>
    </row>
    <row r="13" spans="1:14">
      <c r="A13" s="13" t="s">
        <v>74</v>
      </c>
      <c r="B13" s="4">
        <f>AVERAGE(HR_Data[Age])</f>
        <v>36.923809523809524</v>
      </c>
      <c r="D13" s="13" t="s">
        <v>75</v>
      </c>
      <c r="E13" s="13" t="s">
        <v>66</v>
      </c>
      <c r="F13" s="13" t="s">
        <v>68</v>
      </c>
      <c r="G13" s="13" t="s">
        <v>69</v>
      </c>
      <c r="K13" s="13" t="s">
        <v>76</v>
      </c>
      <c r="L13" s="13" t="s">
        <v>66</v>
      </c>
      <c r="M13" s="13" t="s">
        <v>68</v>
      </c>
      <c r="N13" s="13" t="s">
        <v>69</v>
      </c>
    </row>
    <row r="14" spans="1:14">
      <c r="A14" s="13"/>
      <c r="B14" s="1"/>
      <c r="D14" s="13" t="s">
        <v>77</v>
      </c>
      <c r="E14" s="1">
        <f>COUNTIFS(HR_Data[Age],"&lt;25")</f>
        <v>97</v>
      </c>
      <c r="F14" s="1">
        <f>COUNTIFS(HR_Data[Age],"&lt;25",HR_Data[Attrition],"yes")</f>
        <v>38</v>
      </c>
      <c r="G14" s="2">
        <f>F14/E14</f>
        <v>0.39175257731958762</v>
      </c>
      <c r="K14" s="13" t="s">
        <v>54</v>
      </c>
      <c r="L14" s="1">
        <f>COUNTIF(HR_Data[JobRole],K14)</f>
        <v>131</v>
      </c>
      <c r="M14" s="1">
        <f>COUNTIFS(HR_Data[JobRole],K14,HR_Data[Attrition],"yes")</f>
        <v>9</v>
      </c>
      <c r="N14" s="2">
        <f>M14/L14</f>
        <v>6.8702290076335881E-2</v>
      </c>
    </row>
    <row r="15" spans="1:14">
      <c r="A15" s="13" t="s">
        <v>78</v>
      </c>
      <c r="B15" s="4">
        <f>AVERAGE(HR_Data[MonthlyIncome])</f>
        <v>6502.931292517007</v>
      </c>
      <c r="D15" s="13" t="s">
        <v>79</v>
      </c>
      <c r="E15" s="1">
        <f>COUNTIFS(HR_Data[Age],"&gt;=25",HR_Data[Age],"&lt;35")</f>
        <v>554</v>
      </c>
      <c r="F15" s="1">
        <f>COUNTIFS(HR_Data[Age],"&gt;=25",HR_Data[Age],"&lt;35",HR_Data[Attrition],"yes")</f>
        <v>112</v>
      </c>
      <c r="G15" s="2">
        <f>F15/E15</f>
        <v>0.20216606498194944</v>
      </c>
      <c r="K15" s="13" t="s">
        <v>61</v>
      </c>
      <c r="L15" s="1">
        <f>COUNTIF(HR_Data[JobRole],K15)</f>
        <v>52</v>
      </c>
      <c r="M15" s="1">
        <f>COUNTIFS(HR_Data[JobRole],K15,HR_Data[Attrition],"yes")</f>
        <v>12</v>
      </c>
      <c r="N15" s="2">
        <f t="shared" ref="N15:N23" si="1">M15/L15</f>
        <v>0.23076923076923078</v>
      </c>
    </row>
    <row r="16" spans="1:14">
      <c r="D16" s="13" t="s">
        <v>80</v>
      </c>
      <c r="E16" s="1">
        <f>COUNTIFS(HR_Data[Age],"&gt;=35",HR_Data[Age],"&lt;45")</f>
        <v>505</v>
      </c>
      <c r="F16" s="1">
        <f>COUNTIFS(HR_Data[Age],"&gt;=35",HR_Data[Age],"&lt;45",HR_Data[Attrition],"yes")</f>
        <v>51</v>
      </c>
      <c r="G16" s="2">
        <f>F16/E16</f>
        <v>0.100990099009901</v>
      </c>
      <c r="K16" s="13" t="s">
        <v>50</v>
      </c>
      <c r="L16" s="1">
        <f>COUNTIF(HR_Data[JobRole],K16)</f>
        <v>259</v>
      </c>
      <c r="M16" s="1">
        <f>COUNTIFS(HR_Data[JobRole],K16,HR_Data[Attrition],"yes")</f>
        <v>62</v>
      </c>
      <c r="N16" s="2">
        <f t="shared" si="1"/>
        <v>0.23938223938223938</v>
      </c>
    </row>
    <row r="17" spans="4:14">
      <c r="D17" s="13" t="s">
        <v>81</v>
      </c>
      <c r="E17" s="1">
        <f>COUNTIFS(HR_Data[Age],"&gt;=45",HR_Data[Age],"&lt;55")</f>
        <v>245</v>
      </c>
      <c r="F17" s="1">
        <f>COUNTIFS(HR_Data[Age],"&gt;=45",HR_Data[Age],"&lt;55",HR_Data[Attrition],"yes")</f>
        <v>25</v>
      </c>
      <c r="G17" s="2">
        <f>F17/E17</f>
        <v>0.10204081632653061</v>
      </c>
      <c r="K17" s="13" t="s">
        <v>56</v>
      </c>
      <c r="L17" s="1">
        <f>COUNTIF(HR_Data[JobRole],K17)</f>
        <v>102</v>
      </c>
      <c r="M17" s="1">
        <f>COUNTIFS(HR_Data[JobRole],K17,HR_Data[Attrition],"yes")</f>
        <v>5</v>
      </c>
      <c r="N17" s="2">
        <f t="shared" si="1"/>
        <v>4.9019607843137254E-2</v>
      </c>
    </row>
    <row r="18" spans="4:14">
      <c r="D18" s="13" t="s">
        <v>82</v>
      </c>
      <c r="E18" s="1">
        <f>COUNTIFS(HR_Data[Age],"&gt;=55")</f>
        <v>69</v>
      </c>
      <c r="F18" s="1">
        <f>COUNTIFS(HR_Data[Age],"&gt;=55",HR_Data[Attrition],"yes")</f>
        <v>11</v>
      </c>
      <c r="G18" s="2">
        <f>F18/E18</f>
        <v>0.15942028985507245</v>
      </c>
      <c r="K18" s="13" t="s">
        <v>53</v>
      </c>
      <c r="L18" s="1">
        <f>COUNTIF(HR_Data[JobRole],K18)</f>
        <v>145</v>
      </c>
      <c r="M18" s="1">
        <f>COUNTIFS(HR_Data[JobRole],K18,HR_Data[Attrition],"yes")</f>
        <v>10</v>
      </c>
      <c r="N18" s="2">
        <f t="shared" si="1"/>
        <v>6.8965517241379309E-2</v>
      </c>
    </row>
    <row r="19" spans="4:14">
      <c r="D19" s="13" t="s">
        <v>70</v>
      </c>
      <c r="E19" s="1">
        <f>SUM(E14:E18)</f>
        <v>1470</v>
      </c>
      <c r="F19" s="1">
        <f>SUM(F14:F18)</f>
        <v>237</v>
      </c>
      <c r="G19" s="2">
        <f>F19/E19</f>
        <v>0.16122448979591836</v>
      </c>
      <c r="K19" s="13" t="s">
        <v>58</v>
      </c>
      <c r="L19" s="1">
        <f>COUNTIF(HR_Data[JobRole],K19)</f>
        <v>80</v>
      </c>
      <c r="M19" s="1">
        <f>COUNTIFS(HR_Data[JobRole],K19,HR_Data[Attrition],"yes")</f>
        <v>2</v>
      </c>
      <c r="N19" s="2">
        <f t="shared" si="1"/>
        <v>2.5000000000000001E-2</v>
      </c>
    </row>
    <row r="20" spans="4:14">
      <c r="K20" s="13" t="s">
        <v>47</v>
      </c>
      <c r="L20" s="1">
        <f>COUNTIF(HR_Data[JobRole],K20)</f>
        <v>292</v>
      </c>
      <c r="M20" s="1">
        <f>COUNTIFS(HR_Data[JobRole],K20,HR_Data[Attrition],"yes")</f>
        <v>47</v>
      </c>
      <c r="N20" s="2">
        <f t="shared" si="1"/>
        <v>0.16095890410958905</v>
      </c>
    </row>
    <row r="21" spans="4:14">
      <c r="K21" s="13" t="s">
        <v>40</v>
      </c>
      <c r="L21" s="1">
        <f>COUNTIF(HR_Data[JobRole],K21)</f>
        <v>326</v>
      </c>
      <c r="M21" s="1">
        <f>COUNTIFS(HR_Data[JobRole],K21,HR_Data[Attrition],"yes")</f>
        <v>57</v>
      </c>
      <c r="N21" s="2">
        <f t="shared" si="1"/>
        <v>0.17484662576687116</v>
      </c>
    </row>
    <row r="22" spans="4:14">
      <c r="K22" s="13" t="s">
        <v>57</v>
      </c>
      <c r="L22" s="1">
        <f>COUNTIF(HR_Data[JobRole],K22)</f>
        <v>83</v>
      </c>
      <c r="M22" s="1">
        <f>COUNTIFS(HR_Data[JobRole],K22,HR_Data[Attrition],"yes")</f>
        <v>33</v>
      </c>
      <c r="N22" s="2">
        <f t="shared" si="1"/>
        <v>0.39759036144578314</v>
      </c>
    </row>
    <row r="23" spans="4:14">
      <c r="K23" s="13" t="s">
        <v>70</v>
      </c>
      <c r="L23" s="1">
        <f>SUM(L14:L22)</f>
        <v>1470</v>
      </c>
      <c r="M23" s="1">
        <f>SUM(M14:M22)</f>
        <v>237</v>
      </c>
      <c r="N23" s="2">
        <f t="shared" si="1"/>
        <v>0.16122448979591836</v>
      </c>
    </row>
    <row r="24" spans="4:14">
      <c r="D24" s="16" t="s">
        <v>83</v>
      </c>
      <c r="E24" s="16"/>
      <c r="F24" s="16"/>
      <c r="G24" s="16"/>
    </row>
    <row r="26" spans="4:14">
      <c r="D26" s="13" t="s">
        <v>84</v>
      </c>
      <c r="E26" s="13" t="s">
        <v>66</v>
      </c>
      <c r="F26" s="13" t="s">
        <v>68</v>
      </c>
      <c r="G26" s="13" t="s">
        <v>69</v>
      </c>
    </row>
    <row r="27" spans="4:14">
      <c r="D27" s="1" t="s">
        <v>35</v>
      </c>
      <c r="E27" s="1">
        <f>COUNTIF(HR_Data[OverTime],D27)</f>
        <v>416</v>
      </c>
      <c r="F27" s="1">
        <f>COUNTIFS(HR_Data[OverTime],D27,HR_Data[Attrition],"yes")</f>
        <v>127</v>
      </c>
      <c r="G27" s="2">
        <f>F27/E27</f>
        <v>0.30528846153846156</v>
      </c>
    </row>
    <row r="28" spans="4:14">
      <c r="D28" s="1" t="s">
        <v>43</v>
      </c>
      <c r="E28" s="1">
        <f>COUNTIF(HR_Data[OverTime],D28)</f>
        <v>1054</v>
      </c>
      <c r="F28" s="1">
        <f>COUNTIFS(HR_Data[OverTime],D28,HR_Data[Attrition],"yes")</f>
        <v>110</v>
      </c>
      <c r="G28" s="2">
        <f t="shared" ref="G28:G29" si="2">F28/E28</f>
        <v>0.10436432637571158</v>
      </c>
    </row>
    <row r="29" spans="4:14">
      <c r="D29" s="1" t="s">
        <v>70</v>
      </c>
      <c r="E29" s="1">
        <f>SUM(E27:E28)</f>
        <v>1470</v>
      </c>
      <c r="F29" s="1">
        <f>SUM(F27:F28)</f>
        <v>237</v>
      </c>
      <c r="G29" s="2">
        <f t="shared" si="2"/>
        <v>0.16122448979591836</v>
      </c>
    </row>
    <row r="31" spans="4:14">
      <c r="I31" s="5"/>
    </row>
  </sheetData>
  <mergeCells count="5">
    <mergeCell ref="D3:H3"/>
    <mergeCell ref="K3:N3"/>
    <mergeCell ref="D11:H11"/>
    <mergeCell ref="K11:N11"/>
    <mergeCell ref="D24:G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77426-66CF-449F-ABF2-C093D96465CB}">
  <dimension ref="A1:W15"/>
  <sheetViews>
    <sheetView workbookViewId="0">
      <selection activeCell="R12" sqref="R12"/>
    </sheetView>
  </sheetViews>
  <sheetFormatPr defaultRowHeight="15"/>
  <sheetData>
    <row r="1" spans="1:23" ht="26.25">
      <c r="A1" s="17" t="s">
        <v>85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ht="15.75">
      <c r="A2" s="19" t="s">
        <v>86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4" spans="1:23" ht="26.25">
      <c r="B4" s="48" t="s">
        <v>65</v>
      </c>
      <c r="C4" s="49"/>
      <c r="D4" s="49"/>
      <c r="E4" s="49"/>
      <c r="F4" s="50"/>
      <c r="G4" s="20"/>
      <c r="H4" s="21" t="s">
        <v>71</v>
      </c>
      <c r="I4" s="22"/>
      <c r="J4" s="22"/>
      <c r="K4" s="22"/>
      <c r="L4" s="23"/>
      <c r="P4" s="57"/>
      <c r="Q4" s="57"/>
      <c r="R4" s="57"/>
      <c r="S4" s="57"/>
      <c r="T4" s="57"/>
    </row>
    <row r="5" spans="1:23" ht="23.25">
      <c r="B5" s="51">
        <f>HR_Analysis!B5</f>
        <v>1470</v>
      </c>
      <c r="C5" s="52"/>
      <c r="D5" s="52"/>
      <c r="E5" s="52"/>
      <c r="F5" s="53"/>
      <c r="G5" s="20"/>
      <c r="H5" s="24">
        <f>HR_Analysis!B11</f>
        <v>1233</v>
      </c>
      <c r="I5" s="25"/>
      <c r="J5" s="25"/>
      <c r="K5" s="25"/>
      <c r="L5" s="26"/>
      <c r="P5" s="58"/>
      <c r="Q5" s="58"/>
      <c r="R5" s="58"/>
      <c r="S5" s="58"/>
      <c r="T5" s="58"/>
    </row>
    <row r="6" spans="1:23" ht="23.25">
      <c r="B6" s="54"/>
      <c r="C6" s="55"/>
      <c r="D6" s="55"/>
      <c r="E6" s="55"/>
      <c r="F6" s="56"/>
      <c r="G6" s="20"/>
      <c r="H6" s="27"/>
      <c r="I6" s="28"/>
      <c r="J6" s="28"/>
      <c r="K6" s="28"/>
      <c r="L6" s="29"/>
      <c r="P6" s="58"/>
      <c r="Q6" s="58"/>
      <c r="R6" s="58"/>
      <c r="S6" s="58"/>
      <c r="T6" s="58"/>
    </row>
    <row r="7" spans="1:23" ht="23.25">
      <c r="B7" s="20"/>
      <c r="C7" s="20"/>
      <c r="D7" s="20"/>
      <c r="E7" s="20"/>
      <c r="F7" s="20"/>
      <c r="G7" s="20"/>
      <c r="H7" s="20"/>
      <c r="I7" s="20"/>
      <c r="J7" s="20"/>
    </row>
    <row r="8" spans="1:23" ht="23.25">
      <c r="B8" s="20"/>
      <c r="C8" s="20"/>
      <c r="D8" s="20"/>
    </row>
    <row r="12" spans="1:23" ht="23.25">
      <c r="B12" s="30" t="s">
        <v>87</v>
      </c>
      <c r="C12" s="31"/>
      <c r="D12" s="31"/>
      <c r="E12" s="31"/>
      <c r="F12" s="32"/>
      <c r="H12" s="39" t="s">
        <v>69</v>
      </c>
      <c r="I12" s="40"/>
      <c r="J12" s="40"/>
      <c r="K12" s="40"/>
      <c r="L12" s="41"/>
    </row>
    <row r="13" spans="1:23" ht="23.25" customHeight="1">
      <c r="B13" s="33">
        <f>HR_Analysis!B7</f>
        <v>237</v>
      </c>
      <c r="C13" s="34"/>
      <c r="D13" s="34"/>
      <c r="E13" s="34"/>
      <c r="F13" s="35"/>
      <c r="H13" s="42">
        <f>HR_Analysis!B9</f>
        <v>0.16122448979591836</v>
      </c>
      <c r="I13" s="43"/>
      <c r="J13" s="43"/>
      <c r="K13" s="43"/>
      <c r="L13" s="44"/>
    </row>
    <row r="14" spans="1:23" ht="24.75" customHeight="1">
      <c r="B14" s="36"/>
      <c r="C14" s="37"/>
      <c r="D14" s="37"/>
      <c r="E14" s="37"/>
      <c r="F14" s="38"/>
      <c r="H14" s="45"/>
      <c r="I14" s="46"/>
      <c r="J14" s="46"/>
      <c r="K14" s="46"/>
      <c r="L14" s="47"/>
    </row>
    <row r="15" spans="1:23">
      <c r="H15" s="5"/>
      <c r="I15" s="5"/>
      <c r="J15" s="5"/>
      <c r="K15" s="5"/>
      <c r="L15" s="5"/>
    </row>
  </sheetData>
  <mergeCells count="12">
    <mergeCell ref="P4:T4"/>
    <mergeCell ref="P5:T6"/>
    <mergeCell ref="H5:L6"/>
    <mergeCell ref="B12:F12"/>
    <mergeCell ref="B13:F14"/>
    <mergeCell ref="H12:L12"/>
    <mergeCell ref="H13:L14"/>
    <mergeCell ref="B4:F4"/>
    <mergeCell ref="B5:F6"/>
    <mergeCell ref="A1:W1"/>
    <mergeCell ref="A2:W2"/>
    <mergeCell ref="H4:L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2026-10-23T05:32:53Z</dcterms:created>
  <dcterms:modified xsi:type="dcterms:W3CDTF">2026-10-23T08:39:25Z</dcterms:modified>
  <cp:category/>
  <cp:contentStatus/>
</cp:coreProperties>
</file>